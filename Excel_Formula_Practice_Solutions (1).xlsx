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er-Employee Answers" sheetId="2" state="visible" r:id="rId4"/>
    <sheet name="Summary Answ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<sst xmlns="http://schemas.openxmlformats.org/spreadsheetml/2006/main" count="93" uniqueCount="81">
  <si>
    <t xml:space="preserve">Employee Dataset</t>
  </si>
  <si>
    <t xml:space="preserve">Employee</t>
  </si>
  <si>
    <t xml:space="preserve">Department</t>
  </si>
  <si>
    <t xml:space="preserve">Marks</t>
  </si>
  <si>
    <t xml:space="preserve">Salary</t>
  </si>
  <si>
    <t xml:space="preserve">Attendance</t>
  </si>
  <si>
    <t xml:space="preserve">Rahul</t>
  </si>
  <si>
    <t xml:space="preserve">IT</t>
  </si>
  <si>
    <t xml:space="preserve">Priya</t>
  </si>
  <si>
    <t xml:space="preserve">HR</t>
  </si>
  <si>
    <t xml:space="preserve">Aman</t>
  </si>
  <si>
    <t xml:space="preserve">Neha</t>
  </si>
  <si>
    <t xml:space="preserve">Sales</t>
  </si>
  <si>
    <t xml:space="preserve">Rohit</t>
  </si>
  <si>
    <t xml:space="preserve">Simran</t>
  </si>
  <si>
    <t xml:space="preserve">Karan</t>
  </si>
  <si>
    <t xml:space="preserve">Anjali</t>
  </si>
  <si>
    <t xml:space="preserve">Vivek</t>
  </si>
  <si>
    <t xml:space="preserve">Pooja</t>
  </si>
  <si>
    <t xml:space="preserve">Per-Employee Formula Results (IF, IFS, and Practical IF/AND/OR questions)</t>
  </si>
  <si>
    <t xml:space="preserve">Q1: Pass/Fail</t>
  </si>
  <si>
    <t xml:space="preserve">Q2: Salary Level</t>
  </si>
  <si>
    <t xml:space="preserve">Q3: Eligibility</t>
  </si>
  <si>
    <t xml:space="preserve">Q4: Excellent/Good</t>
  </si>
  <si>
    <t xml:space="preserve">Q5: Technical</t>
  </si>
  <si>
    <t xml:space="preserve">Q6: Top Performer</t>
  </si>
  <si>
    <t xml:space="preserve">Q7: Marks Grade</t>
  </si>
  <si>
    <t xml:space="preserve">Q8: Salary Class</t>
  </si>
  <si>
    <t xml:space="preserve">Q9: Attendance Class</t>
  </si>
  <si>
    <t xml:space="preserve">Q10: Eligibility (Marks+Att.)</t>
  </si>
  <si>
    <t xml:space="preserve">Q11: Premium Tier</t>
  </si>
  <si>
    <t xml:space="preserve">Q12: Performance Rating</t>
  </si>
  <si>
    <t xml:space="preserve">Q33: Selected/Rejected</t>
  </si>
  <si>
    <t xml:space="preserve">Q34: Bonus Eligible</t>
  </si>
  <si>
    <t xml:space="preserve">Q35: Priority/Normal</t>
  </si>
  <si>
    <t xml:space="preserve">Q36: Review Status</t>
  </si>
  <si>
    <t xml:space="preserve">COUNTIF, SUMIF &amp; Practical Combined Questions</t>
  </si>
  <si>
    <t xml:space="preserve">Q#</t>
  </si>
  <si>
    <t xml:space="preserve">Question</t>
  </si>
  <si>
    <t xml:space="preserve">Formula</t>
  </si>
  <si>
    <t xml:space="preserve">Result</t>
  </si>
  <si>
    <t xml:space="preserve">How many employees are in the IT department?</t>
  </si>
  <si>
    <t xml:space="preserve">COUNTIF(Data!B4:B13,"IT")</t>
  </si>
  <si>
    <t xml:space="preserve">How many employees scored 80 or above?</t>
  </si>
  <si>
    <t xml:space="preserve">COUNTIF(Data!C4:C13,"&gt;=80")</t>
  </si>
  <si>
    <t xml:space="preserve">How many employees earn more than 40,000?</t>
  </si>
  <si>
    <t xml:space="preserve">COUNTIF(Data!D4:D13,"&gt;40000")</t>
  </si>
  <si>
    <t xml:space="preserve">How many employees have Attendance of 90% or above?</t>
  </si>
  <si>
    <t xml:space="preserve">COUNTIF(Data!E4:E13,"&gt;=0.9")</t>
  </si>
  <si>
    <t xml:space="preserve">How many employees are in HR?</t>
  </si>
  <si>
    <t xml:space="preserve">COUNTIF(Data!B4:B13,"HR")</t>
  </si>
  <si>
    <t xml:space="preserve">How many employees scored below 60?</t>
  </si>
  <si>
    <t xml:space="preserve">COUNTIF(Data!C4:C13,"&lt;60")</t>
  </si>
  <si>
    <t xml:space="preserve">How many employees earn exactly 45,000?</t>
  </si>
  <si>
    <t xml:space="preserve">COUNTIF(Data!D4:D13,45000)</t>
  </si>
  <si>
    <t xml:space="preserve">How many employee names start with the letter "A"?</t>
  </si>
  <si>
    <t xml:space="preserve">COUNTIF(Data!A4:A13,"A*")</t>
  </si>
  <si>
    <t xml:space="preserve">How many employees are not in the Sales department?</t>
  </si>
  <si>
    <t xml:space="preserve">COUNTIF(Data!B4:B13,"&lt;&gt;Sales")</t>
  </si>
  <si>
    <t xml:space="preserve">Total Salary of IT employees.</t>
  </si>
  <si>
    <t xml:space="preserve">SUMIF(Data!B4:B13,"IT",Data!D4:D13)</t>
  </si>
  <si>
    <t xml:space="preserve">Total Salary of HR employees.</t>
  </si>
  <si>
    <t xml:space="preserve">SUMIF(Data!B4:B13,"HR",Data!D4:D13)</t>
  </si>
  <si>
    <t xml:space="preserve">Total Salary of Sales employees.</t>
  </si>
  <si>
    <t xml:space="preserve">SUMIF(Data!B4:B13,"Sales",Data!D4:D13)</t>
  </si>
  <si>
    <t xml:space="preserve">Total Salary of employees who scored 80 or above.</t>
  </si>
  <si>
    <t xml:space="preserve">SUMIF(Data!C4:C13,"&gt;=80",Data!D4:D13)</t>
  </si>
  <si>
    <t xml:space="preserve">Total Marks of employees whose Attendance is 90% or above.</t>
  </si>
  <si>
    <t xml:space="preserve">SUMIF(Data!E4:E13,"&gt;=0.9",Data!C4:C13)</t>
  </si>
  <si>
    <t xml:space="preserve">Total Marks of employees earning more than 40,000.</t>
  </si>
  <si>
    <t xml:space="preserve">SUMIF(Data!D4:D13,"&gt;40000",Data!C4:C13)</t>
  </si>
  <si>
    <t xml:space="preserve">Total Marks of IT employees.</t>
  </si>
  <si>
    <t xml:space="preserve">SUMIF(Data!B4:B13,"IT",Data!C4:C13)</t>
  </si>
  <si>
    <t xml:space="preserve">Total Salary of employees who scored below 70.</t>
  </si>
  <si>
    <t xml:space="preserve">SUMIF(Data!C4:C13,"&lt;70",Data!D4:D13)</t>
  </si>
  <si>
    <t xml:space="preserve">COUNTIF+IF: Count IT employees; if &gt;3 show "Large Team" else "Small Team".</t>
  </si>
  <si>
    <t xml:space="preserve">IF(COUNTIF(Data!B4:B13,"IT")&gt;3,"Large Team","Small Team")</t>
  </si>
  <si>
    <t xml:space="preserve">SUMIF+IF: Total IT payroll; if &gt;150,000 show "High Payroll" else "Low Payroll".</t>
  </si>
  <si>
    <t xml:space="preserve">IF(SUMIF(Data!B4:B13,"IT",Data!D4:D13)&gt;150000,"High Payroll","Low Payroll")</t>
  </si>
  <si>
    <t xml:space="preserve">COUNTIF+IFS: Classify count of employees scoring 80+ (5+ Excellent, 3-4 Good, 1-2 Average, 0 Poor).</t>
  </si>
  <si>
    <t xml:space="preserve">_xlfn.IFS(COUNTIF(Data!C4:C13,"&gt;=80")&gt;=5,"Excellent",COUNTIF(Data!C4:C13,"&gt;=80")&gt;=3,"Good",COUNTIF(Data!C4:C13,"&gt;=80")&gt;=1,"Average",TRUE,"Poor")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</si>
</sst>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00610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5" min="4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n">
        <v>85</v>
      </c>
      <c r="D4" s="4" t="n">
        <v>45000</v>
      </c>
      <c r="E4" s="5" t="n">
        <v>0.92</v>
      </c>
    </row>
    <row r="5" customFormat="false" ht="15" hidden="false" customHeight="false" outlineLevel="0" collapsed="false">
      <c r="A5" s="3" t="s">
        <v>8</v>
      </c>
      <c r="B5" s="3" t="s">
        <v>9</v>
      </c>
      <c r="C5" s="3" t="n">
        <v>72</v>
      </c>
      <c r="D5" s="4" t="n">
        <v>38000</v>
      </c>
      <c r="E5" s="5" t="n">
        <v>0.85</v>
      </c>
    </row>
    <row r="6" customFormat="false" ht="15" hidden="false" customHeight="false" outlineLevel="0" collapsed="false">
      <c r="A6" s="3" t="s">
        <v>10</v>
      </c>
      <c r="B6" s="3" t="s">
        <v>7</v>
      </c>
      <c r="C6" s="3" t="n">
        <v>65</v>
      </c>
      <c r="D6" s="4" t="n">
        <v>42000</v>
      </c>
      <c r="E6" s="5" t="n">
        <v>0.78</v>
      </c>
    </row>
    <row r="7" customFormat="false" ht="15" hidden="false" customHeight="false" outlineLevel="0" collapsed="false">
      <c r="A7" s="3" t="s">
        <v>11</v>
      </c>
      <c r="B7" s="3" t="s">
        <v>12</v>
      </c>
      <c r="C7" s="3" t="n">
        <v>91</v>
      </c>
      <c r="D7" s="4" t="n">
        <v>52000</v>
      </c>
      <c r="E7" s="5" t="n">
        <v>0.96</v>
      </c>
    </row>
    <row r="8" customFormat="false" ht="15" hidden="false" customHeight="false" outlineLevel="0" collapsed="false">
      <c r="A8" s="3" t="s">
        <v>13</v>
      </c>
      <c r="B8" s="3" t="s">
        <v>9</v>
      </c>
      <c r="C8" s="3" t="n">
        <v>58</v>
      </c>
      <c r="D8" s="4" t="n">
        <v>35000</v>
      </c>
      <c r="E8" s="5" t="n">
        <v>0.72</v>
      </c>
    </row>
    <row r="9" customFormat="false" ht="15" hidden="false" customHeight="false" outlineLevel="0" collapsed="false">
      <c r="A9" s="3" t="s">
        <v>14</v>
      </c>
      <c r="B9" s="3" t="s">
        <v>7</v>
      </c>
      <c r="C9" s="3" t="n">
        <v>78</v>
      </c>
      <c r="D9" s="4" t="n">
        <v>48000</v>
      </c>
      <c r="E9" s="5" t="n">
        <v>0.88</v>
      </c>
    </row>
    <row r="10" customFormat="false" ht="15" hidden="false" customHeight="false" outlineLevel="0" collapsed="false">
      <c r="A10" s="3" t="s">
        <v>15</v>
      </c>
      <c r="B10" s="3" t="s">
        <v>12</v>
      </c>
      <c r="C10" s="3" t="n">
        <v>69</v>
      </c>
      <c r="D10" s="4" t="n">
        <v>41000</v>
      </c>
      <c r="E10" s="5" t="n">
        <v>0.81</v>
      </c>
    </row>
    <row r="11" customFormat="false" ht="15" hidden="false" customHeight="false" outlineLevel="0" collapsed="false">
      <c r="A11" s="3" t="s">
        <v>16</v>
      </c>
      <c r="B11" s="3" t="s">
        <v>9</v>
      </c>
      <c r="C11" s="3" t="n">
        <v>88</v>
      </c>
      <c r="D11" s="4" t="n">
        <v>46000</v>
      </c>
      <c r="E11" s="5" t="n">
        <v>0.94</v>
      </c>
    </row>
    <row r="12" customFormat="false" ht="15" hidden="false" customHeight="false" outlineLevel="0" collapsed="false">
      <c r="A12" s="3" t="s">
        <v>17</v>
      </c>
      <c r="B12" s="3" t="s">
        <v>7</v>
      </c>
      <c r="C12" s="3" t="n">
        <v>95</v>
      </c>
      <c r="D12" s="4" t="n">
        <v>60000</v>
      </c>
      <c r="E12" s="5" t="n">
        <v>0.98</v>
      </c>
    </row>
    <row r="13" customFormat="false" ht="15" hidden="false" customHeight="false" outlineLevel="0" collapsed="false">
      <c r="A13" s="3" t="s">
        <v>18</v>
      </c>
      <c r="B13" s="3" t="s">
        <v>12</v>
      </c>
      <c r="C13" s="3" t="n">
        <v>74</v>
      </c>
      <c r="D13" s="4" t="n">
        <v>39000</v>
      </c>
      <c r="E13" s="5" t="n">
        <v>0.86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6"/>
  </cols>
  <sheetData>
    <row r="1" customFormat="false" ht="16.15" hidden="false" customHeight="fals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2" t="s">
        <v>32</v>
      </c>
      <c r="S3" s="2" t="s">
        <v>33</v>
      </c>
      <c r="T3" s="2" t="s">
        <v>34</v>
      </c>
      <c r="U3" s="2" t="s">
        <v>35</v>
      </c>
    </row>
    <row r="4" customFormat="false" ht="15" hidden="false" customHeight="false" outlineLevel="0" collapsed="false">
      <c r="A4" s="3" t="str">
        <f aca="false">Data!A4</f>
        <v>Rahul</v>
      </c>
      <c r="B4" s="3" t="str">
        <f aca="false">Data!B4</f>
        <v>IT</v>
      </c>
      <c r="C4" s="3" t="n">
        <f aca="false">Data!C4</f>
        <v>85</v>
      </c>
      <c r="D4" s="4" t="n">
        <f aca="false">Data!D4</f>
        <v>45000</v>
      </c>
      <c r="E4" s="5" t="n">
        <f aca="false">Data!E4</f>
        <v>0.92</v>
      </c>
      <c r="F4" s="3" t="str">
        <f aca="false">IF(Data!C4&gt;=40,"Pass","Fail")</f>
        <v>Pass</v>
      </c>
      <c r="G4" s="3" t="str">
        <f aca="false">IF(Data!D4&gt;45000,"High Salary","Normal Salary")</f>
        <v>Normal Salary</v>
      </c>
      <c r="H4" s="3" t="str">
        <f aca="false">IF(Data!E4&gt;=0.8,"Eligible","Not Eligible")</f>
        <v>Eligible</v>
      </c>
      <c r="I4" s="3" t="str">
        <f aca="false">IF(Data!C4&gt;=90,"Excellent","Good")</f>
        <v>Good</v>
      </c>
      <c r="J4" s="3" t="str">
        <f aca="false">IF(Data!B4="IT","Technical","Non-Technical")</f>
        <v>Technical</v>
      </c>
      <c r="K4" s="3" t="str">
        <f aca="false">IF(AND(Data!C4&gt;=85,Data!E4&gt;=0.9),"Top Performer","Standard")</f>
        <v>Top Performer</v>
      </c>
      <c r="L4" s="3" t="str">
        <f aca="false">_xlfn.IFS(Data!C4&gt;=90,"Excellent",Data!C4&gt;=80,"Very Good",Data!C4&gt;=70,"Good",Data!C4&gt;=60,"Average",TRUE(),"Fail")</f>
        <v>Very Good</v>
      </c>
      <c r="M4" s="3" t="str">
        <f aca="false">_xlfn.IFS(Data!D4&gt;=50000,"A",Data!D4&gt;=40000,"B",Data!D4&gt;=35000,"C",TRUE(),"D")</f>
        <v>B</v>
      </c>
      <c r="N4" s="3" t="str">
        <f aca="false">_xlfn.IFS(Data!E4&gt;=0.9,"Excellent",Data!E4&gt;=0.8,"Good",Data!E4&gt;=0.75,"Average",TRUE(),"Poor")</f>
        <v>Excellent</v>
      </c>
      <c r="O4" s="3" t="str">
        <f aca="false">IF(AND(Data!C4&gt;=80,Data!E4&gt;=0.85),"Eligible","Not Eligible")</f>
        <v>Eligible</v>
      </c>
      <c r="P4" s="3" t="str">
        <f aca="false">_xlfn.IFS(AND(Data!B4="IT",Data!D4&gt;=45000),"IT Premium",AND(Data!B4="HR",Data!D4&gt;=40000),"HR Premium",TRUE(),"Regular")</f>
        <v>IT Premium</v>
      </c>
      <c r="Q4" s="3" t="str">
        <f aca="false">_xlfn.IFS(Data!C4&gt;=90,"Outstanding",Data!C4&gt;=80,"Strong",Data!C4&gt;=70,"Satisfactory",TRUE(),"Needs Improvement")</f>
        <v>Strong</v>
      </c>
      <c r="R4" s="3" t="str">
        <f aca="false">IF(AND(Data!C4&gt;=70,Data!E4&gt;=0.8),"Selected","Rejected")</f>
        <v>Selected</v>
      </c>
      <c r="S4" s="3" t="str">
        <f aca="false">IF(OR(Data!C4&gt;=90,Data!E4&gt;=0.95),"Bonus Eligible","Not Eligible")</f>
        <v>Not Eligible</v>
      </c>
      <c r="T4" s="3" t="str">
        <f aca="false">IF(AND(Data!B4="IT",Data!C4&gt;=80),"Priority","Normal")</f>
        <v>Priority</v>
      </c>
      <c r="U4" s="3" t="str">
        <f aca="false">IF(OR(Data!C4&lt;60,Data!E4&lt;0.75),"Review Required","On Track")</f>
        <v>On Track</v>
      </c>
    </row>
    <row r="5" customFormat="false" ht="15" hidden="false" customHeight="false" outlineLevel="0" collapsed="false">
      <c r="A5" s="3" t="str">
        <f aca="false">Data!A5</f>
        <v>Priya</v>
      </c>
      <c r="B5" s="3" t="str">
        <f aca="false">Data!B5</f>
        <v>HR</v>
      </c>
      <c r="C5" s="3" t="n">
        <f aca="false">Data!C5</f>
        <v>72</v>
      </c>
      <c r="D5" s="4" t="n">
        <f aca="false">Data!D5</f>
        <v>38000</v>
      </c>
      <c r="E5" s="5" t="n">
        <f aca="false">Data!E5</f>
        <v>0.85</v>
      </c>
      <c r="F5" s="3" t="str">
        <f aca="false">IF(Data!C5&gt;=40,"Pass","Fail")</f>
        <v>Pass</v>
      </c>
      <c r="G5" s="3" t="str">
        <f aca="false">IF(Data!D5&gt;45000,"High Salary","Normal Salary")</f>
        <v>Normal Salary</v>
      </c>
      <c r="H5" s="3" t="str">
        <f aca="false">IF(Data!E5&gt;=0.8,"Eligible","Not Eligible")</f>
        <v>Eligible</v>
      </c>
      <c r="I5" s="3" t="str">
        <f aca="false">IF(Data!C5&gt;=90,"Excellent","Good")</f>
        <v>Good</v>
      </c>
      <c r="J5" s="3" t="str">
        <f aca="false">IF(Data!B5="IT","Technical","Non-Technical")</f>
        <v>Non-Technical</v>
      </c>
      <c r="K5" s="3" t="str">
        <f aca="false">IF(AND(Data!C5&gt;=85,Data!E5&gt;=0.9),"Top Performer","Standard")</f>
        <v>Standard</v>
      </c>
      <c r="L5" s="3" t="str">
        <f aca="false">_xlfn.IFS(Data!C5&gt;=90,"Excellent",Data!C5&gt;=80,"Very Good",Data!C5&gt;=70,"Good",Data!C5&gt;=60,"Average",TRUE(),"Fail")</f>
        <v>Good</v>
      </c>
      <c r="M5" s="3" t="str">
        <f aca="false">_xlfn.IFS(Data!D5&gt;=50000,"A",Data!D5&gt;=40000,"B",Data!D5&gt;=35000,"C",TRUE(),"D")</f>
        <v>C</v>
      </c>
      <c r="N5" s="3" t="str">
        <f aca="false">_xlfn.IFS(Data!E5&gt;=0.9,"Excellent",Data!E5&gt;=0.8,"Good",Data!E5&gt;=0.75,"Average",TRUE(),"Poor")</f>
        <v>Good</v>
      </c>
      <c r="O5" s="3" t="str">
        <f aca="false">IF(AND(Data!C5&gt;=80,Data!E5&gt;=0.85),"Eligible","Not Eligible")</f>
        <v>Not Eligible</v>
      </c>
      <c r="P5" s="3" t="str">
        <f aca="false">_xlfn.IFS(AND(Data!B5="IT",Data!D5&gt;=45000),"IT Premium",AND(Data!B5="HR",Data!D5&gt;=40000),"HR Premium",TRUE(),"Regular")</f>
        <v>Regular</v>
      </c>
      <c r="Q5" s="3" t="str">
        <f aca="false">_xlfn.IFS(Data!C5&gt;=90,"Outstanding",Data!C5&gt;=80,"Strong",Data!C5&gt;=70,"Satisfactory",TRUE(),"Needs Improvement")</f>
        <v>Satisfactory</v>
      </c>
      <c r="R5" s="3" t="str">
        <f aca="false">IF(AND(Data!C5&gt;=70,Data!E5&gt;=0.8),"Selected","Rejected")</f>
        <v>Selected</v>
      </c>
      <c r="S5" s="3" t="str">
        <f aca="false">IF(OR(Data!C5&gt;=90,Data!E5&gt;=0.95),"Bonus Eligible","Not Eligible")</f>
        <v>Not Eligible</v>
      </c>
      <c r="T5" s="3" t="str">
        <f aca="false">IF(AND(Data!B5="IT",Data!C5&gt;=80),"Priority","Normal")</f>
        <v>Normal</v>
      </c>
      <c r="U5" s="3" t="str">
        <f aca="false">IF(OR(Data!C5&lt;60,Data!E5&lt;0.75),"Review Required","On Track")</f>
        <v>On Track</v>
      </c>
    </row>
    <row r="6" customFormat="false" ht="15" hidden="false" customHeight="false" outlineLevel="0" collapsed="false">
      <c r="A6" s="3" t="str">
        <f aca="false">Data!A6</f>
        <v>Aman</v>
      </c>
      <c r="B6" s="3" t="str">
        <f aca="false">Data!B6</f>
        <v>IT</v>
      </c>
      <c r="C6" s="3" t="n">
        <f aca="false">Data!C6</f>
        <v>65</v>
      </c>
      <c r="D6" s="4" t="n">
        <f aca="false">Data!D6</f>
        <v>42000</v>
      </c>
      <c r="E6" s="5" t="n">
        <f aca="false">Data!E6</f>
        <v>0.78</v>
      </c>
      <c r="F6" s="3" t="str">
        <f aca="false">IF(Data!C6&gt;=40,"Pass","Fail")</f>
        <v>Pass</v>
      </c>
      <c r="G6" s="3" t="str">
        <f aca="false">IF(Data!D6&gt;45000,"High Salary","Normal Salary")</f>
        <v>Normal Salary</v>
      </c>
      <c r="H6" s="3" t="str">
        <f aca="false">IF(Data!E6&gt;=0.8,"Eligible","Not Eligible")</f>
        <v>Not Eligible</v>
      </c>
      <c r="I6" s="3" t="str">
        <f aca="false">IF(Data!C6&gt;=90,"Excellent","Good")</f>
        <v>Good</v>
      </c>
      <c r="J6" s="3" t="str">
        <f aca="false">IF(Data!B6="IT","Technical","Non-Technical")</f>
        <v>Technical</v>
      </c>
      <c r="K6" s="3" t="str">
        <f aca="false">IF(AND(Data!C6&gt;=85,Data!E6&gt;=0.9),"Top Performer","Standard")</f>
        <v>Standard</v>
      </c>
      <c r="L6" s="3" t="str">
        <f aca="false">_xlfn.IFS(Data!C6&gt;=90,"Excellent",Data!C6&gt;=80,"Very Good",Data!C6&gt;=70,"Good",Data!C6&gt;=60,"Average",TRUE(),"Fail")</f>
        <v>Average</v>
      </c>
      <c r="M6" s="3" t="str">
        <f aca="false">_xlfn.IFS(Data!D6&gt;=50000,"A",Data!D6&gt;=40000,"B",Data!D6&gt;=35000,"C",TRUE(),"D")</f>
        <v>B</v>
      </c>
      <c r="N6" s="3" t="str">
        <f aca="false">_xlfn.IFS(Data!E6&gt;=0.9,"Excellent",Data!E6&gt;=0.8,"Good",Data!E6&gt;=0.75,"Average",TRUE(),"Poor")</f>
        <v>Average</v>
      </c>
      <c r="O6" s="3" t="str">
        <f aca="false">IF(AND(Data!C6&gt;=80,Data!E6&gt;=0.85),"Eligible","Not Eligible")</f>
        <v>Not Eligible</v>
      </c>
      <c r="P6" s="3" t="str">
        <f aca="false">_xlfn.IFS(AND(Data!B6="IT",Data!D6&gt;=45000),"IT Premium",AND(Data!B6="HR",Data!D6&gt;=40000),"HR Premium",TRUE(),"Regular")</f>
        <v>Regular</v>
      </c>
      <c r="Q6" s="3" t="str">
        <f aca="false">_xlfn.IFS(Data!C6&gt;=90,"Outstanding",Data!C6&gt;=80,"Strong",Data!C6&gt;=70,"Satisfactory",TRUE(),"Needs Improvement")</f>
        <v>Needs Improvement</v>
      </c>
      <c r="R6" s="3" t="str">
        <f aca="false">IF(AND(Data!C6&gt;=70,Data!E6&gt;=0.8),"Selected","Rejected")</f>
        <v>Rejected</v>
      </c>
      <c r="S6" s="3" t="str">
        <f aca="false">IF(OR(Data!C6&gt;=90,Data!E6&gt;=0.95),"Bonus Eligible","Not Eligible")</f>
        <v>Not Eligible</v>
      </c>
      <c r="T6" s="3" t="str">
        <f aca="false">IF(AND(Data!B6="IT",Data!C6&gt;=80),"Priority","Normal")</f>
        <v>Normal</v>
      </c>
      <c r="U6" s="3" t="str">
        <f aca="false">IF(OR(Data!C6&lt;60,Data!E6&lt;0.75),"Review Required","On Track")</f>
        <v>On Track</v>
      </c>
    </row>
    <row r="7" customFormat="false" ht="15" hidden="false" customHeight="false" outlineLevel="0" collapsed="false">
      <c r="A7" s="3" t="str">
        <f aca="false">Data!A7</f>
        <v>Neha</v>
      </c>
      <c r="B7" s="3" t="str">
        <f aca="false">Data!B7</f>
        <v>Sales</v>
      </c>
      <c r="C7" s="3" t="n">
        <f aca="false">Data!C7</f>
        <v>91</v>
      </c>
      <c r="D7" s="4" t="n">
        <f aca="false">Data!D7</f>
        <v>52000</v>
      </c>
      <c r="E7" s="5" t="n">
        <f aca="false">Data!E7</f>
        <v>0.96</v>
      </c>
      <c r="F7" s="3" t="str">
        <f aca="false">IF(Data!C7&gt;=40,"Pass","Fail")</f>
        <v>Pass</v>
      </c>
      <c r="G7" s="3" t="str">
        <f aca="false">IF(Data!D7&gt;45000,"High Salary","Normal Salary")</f>
        <v>High Salary</v>
      </c>
      <c r="H7" s="3" t="str">
        <f aca="false">IF(Data!E7&gt;=0.8,"Eligible","Not Eligible")</f>
        <v>Eligible</v>
      </c>
      <c r="I7" s="3" t="str">
        <f aca="false">IF(Data!C7&gt;=90,"Excellent","Good")</f>
        <v>Excellent</v>
      </c>
      <c r="J7" s="3" t="str">
        <f aca="false">IF(Data!B7="IT","Technical","Non-Technical")</f>
        <v>Non-Technical</v>
      </c>
      <c r="K7" s="3" t="str">
        <f aca="false">IF(AND(Data!C7&gt;=85,Data!E7&gt;=0.9),"Top Performer","Standard")</f>
        <v>Top Performer</v>
      </c>
      <c r="L7" s="3" t="str">
        <f aca="false">_xlfn.IFS(Data!C7&gt;=90,"Excellent",Data!C7&gt;=80,"Very Good",Data!C7&gt;=70,"Good",Data!C7&gt;=60,"Average",TRUE(),"Fail")</f>
        <v>Excellent</v>
      </c>
      <c r="M7" s="3" t="str">
        <f aca="false">_xlfn.IFS(Data!D7&gt;=50000,"A",Data!D7&gt;=40000,"B",Data!D7&gt;=35000,"C",TRUE(),"D")</f>
        <v>A</v>
      </c>
      <c r="N7" s="3" t="str">
        <f aca="false">_xlfn.IFS(Data!E7&gt;=0.9,"Excellent",Data!E7&gt;=0.8,"Good",Data!E7&gt;=0.75,"Average",TRUE(),"Poor")</f>
        <v>Excellent</v>
      </c>
      <c r="O7" s="3" t="str">
        <f aca="false">IF(AND(Data!C7&gt;=80,Data!E7&gt;=0.85),"Eligible","Not Eligible")</f>
        <v>Eligible</v>
      </c>
      <c r="P7" s="3" t="str">
        <f aca="false">_xlfn.IFS(AND(Data!B7="IT",Data!D7&gt;=45000),"IT Premium",AND(Data!B7="HR",Data!D7&gt;=40000),"HR Premium",TRUE(),"Regular")</f>
        <v>Regular</v>
      </c>
      <c r="Q7" s="3" t="str">
        <f aca="false">_xlfn.IFS(Data!C7&gt;=90,"Outstanding",Data!C7&gt;=80,"Strong",Data!C7&gt;=70,"Satisfactory",TRUE(),"Needs Improvement")</f>
        <v>Outstanding</v>
      </c>
      <c r="R7" s="3" t="str">
        <f aca="false">IF(AND(Data!C7&gt;=70,Data!E7&gt;=0.8),"Selected","Rejected")</f>
        <v>Selected</v>
      </c>
      <c r="S7" s="3" t="str">
        <f aca="false">IF(OR(Data!C7&gt;=90,Data!E7&gt;=0.95),"Bonus Eligible","Not Eligible")</f>
        <v>Bonus Eligible</v>
      </c>
      <c r="T7" s="3" t="str">
        <f aca="false">IF(AND(Data!B7="IT",Data!C7&gt;=80),"Priority","Normal")</f>
        <v>Normal</v>
      </c>
      <c r="U7" s="3" t="str">
        <f aca="false">IF(OR(Data!C7&lt;60,Data!E7&lt;0.75),"Review Required","On Track")</f>
        <v>On Track</v>
      </c>
    </row>
    <row r="8" customFormat="false" ht="15" hidden="false" customHeight="false" outlineLevel="0" collapsed="false">
      <c r="A8" s="3" t="str">
        <f aca="false">Data!A8</f>
        <v>Rohit</v>
      </c>
      <c r="B8" s="3" t="str">
        <f aca="false">Data!B8</f>
        <v>HR</v>
      </c>
      <c r="C8" s="3" t="n">
        <f aca="false">Data!C8</f>
        <v>58</v>
      </c>
      <c r="D8" s="4" t="n">
        <f aca="false">Data!D8</f>
        <v>35000</v>
      </c>
      <c r="E8" s="5" t="n">
        <f aca="false">Data!E8</f>
        <v>0.72</v>
      </c>
      <c r="F8" s="3" t="str">
        <f aca="false">IF(Data!C8&gt;=40,"Pass","Fail")</f>
        <v>Pass</v>
      </c>
      <c r="G8" s="3" t="str">
        <f aca="false">IF(Data!D8&gt;45000,"High Salary","Normal Salary")</f>
        <v>Normal Salary</v>
      </c>
      <c r="H8" s="3" t="str">
        <f aca="false">IF(Data!E8&gt;=0.8,"Eligible","Not Eligible")</f>
        <v>Not Eligible</v>
      </c>
      <c r="I8" s="3" t="str">
        <f aca="false">IF(Data!C8&gt;=90,"Excellent","Good")</f>
        <v>Good</v>
      </c>
      <c r="J8" s="3" t="str">
        <f aca="false">IF(Data!B8="IT","Technical","Non-Technical")</f>
        <v>Non-Technical</v>
      </c>
      <c r="K8" s="3" t="str">
        <f aca="false">IF(AND(Data!C8&gt;=85,Data!E8&gt;=0.9),"Top Performer","Standard")</f>
        <v>Standard</v>
      </c>
      <c r="L8" s="3" t="str">
        <f aca="false">_xlfn.IFS(Data!C8&gt;=90,"Excellent",Data!C8&gt;=80,"Very Good",Data!C8&gt;=70,"Good",Data!C8&gt;=60,"Average",TRUE(),"Fail")</f>
        <v>Fail</v>
      </c>
      <c r="M8" s="3" t="str">
        <f aca="false">_xlfn.IFS(Data!D8&gt;=50000,"A",Data!D8&gt;=40000,"B",Data!D8&gt;=35000,"C",TRUE(),"D")</f>
        <v>C</v>
      </c>
      <c r="N8" s="3" t="str">
        <f aca="false">_xlfn.IFS(Data!E8&gt;=0.9,"Excellent",Data!E8&gt;=0.8,"Good",Data!E8&gt;=0.75,"Average",TRUE(),"Poor")</f>
        <v>Poor</v>
      </c>
      <c r="O8" s="3" t="str">
        <f aca="false">IF(AND(Data!C8&gt;=80,Data!E8&gt;=0.85),"Eligible","Not Eligible")</f>
        <v>Not Eligible</v>
      </c>
      <c r="P8" s="3" t="str">
        <f aca="false">_xlfn.IFS(AND(Data!B8="IT",Data!D8&gt;=45000),"IT Premium",AND(Data!B8="HR",Data!D8&gt;=40000),"HR Premium",TRUE(),"Regular")</f>
        <v>Regular</v>
      </c>
      <c r="Q8" s="3" t="str">
        <f aca="false">_xlfn.IFS(Data!C8&gt;=90,"Outstanding",Data!C8&gt;=80,"Strong",Data!C8&gt;=70,"Satisfactory",TRUE(),"Needs Improvement")</f>
        <v>Needs Improvement</v>
      </c>
      <c r="R8" s="3" t="str">
        <f aca="false">IF(AND(Data!C8&gt;=70,Data!E8&gt;=0.8),"Selected","Rejected")</f>
        <v>Rejected</v>
      </c>
      <c r="S8" s="3" t="str">
        <f aca="false">IF(OR(Data!C8&gt;=90,Data!E8&gt;=0.95),"Bonus Eligible","Not Eligible")</f>
        <v>Not Eligible</v>
      </c>
      <c r="T8" s="3" t="str">
        <f aca="false">IF(AND(Data!B8="IT",Data!C8&gt;=80),"Priority","Normal")</f>
        <v>Normal</v>
      </c>
      <c r="U8" s="3" t="str">
        <f aca="false">IF(OR(Data!C8&lt;60,Data!E8&lt;0.75),"Review Required","On Track")</f>
        <v>Review Required</v>
      </c>
    </row>
    <row r="9" customFormat="false" ht="15" hidden="false" customHeight="false" outlineLevel="0" collapsed="false">
      <c r="A9" s="3" t="str">
        <f aca="false">Data!A9</f>
        <v>Simran</v>
      </c>
      <c r="B9" s="3" t="str">
        <f aca="false">Data!B9</f>
        <v>IT</v>
      </c>
      <c r="C9" s="3" t="n">
        <f aca="false">Data!C9</f>
        <v>78</v>
      </c>
      <c r="D9" s="4" t="n">
        <f aca="false">Data!D9</f>
        <v>48000</v>
      </c>
      <c r="E9" s="5" t="n">
        <f aca="false">Data!E9</f>
        <v>0.88</v>
      </c>
      <c r="F9" s="3" t="str">
        <f aca="false">IF(Data!C9&gt;=40,"Pass","Fail")</f>
        <v>Pass</v>
      </c>
      <c r="G9" s="3" t="str">
        <f aca="false">IF(Data!D9&gt;45000,"High Salary","Normal Salary")</f>
        <v>High Salary</v>
      </c>
      <c r="H9" s="3" t="str">
        <f aca="false">IF(Data!E9&gt;=0.8,"Eligible","Not Eligible")</f>
        <v>Eligible</v>
      </c>
      <c r="I9" s="3" t="str">
        <f aca="false">IF(Data!C9&gt;=90,"Excellent","Good")</f>
        <v>Good</v>
      </c>
      <c r="J9" s="3" t="str">
        <f aca="false">IF(Data!B9="IT","Technical","Non-Technical")</f>
        <v>Technical</v>
      </c>
      <c r="K9" s="3" t="str">
        <f aca="false">IF(AND(Data!C9&gt;=85,Data!E9&gt;=0.9),"Top Performer","Standard")</f>
        <v>Standard</v>
      </c>
      <c r="L9" s="3" t="str">
        <f aca="false">_xlfn.IFS(Data!C9&gt;=90,"Excellent",Data!C9&gt;=80,"Very Good",Data!C9&gt;=70,"Good",Data!C9&gt;=60,"Average",TRUE(),"Fail")</f>
        <v>Good</v>
      </c>
      <c r="M9" s="3" t="str">
        <f aca="false">_xlfn.IFS(Data!D9&gt;=50000,"A",Data!D9&gt;=40000,"B",Data!D9&gt;=35000,"C",TRUE(),"D")</f>
        <v>B</v>
      </c>
      <c r="N9" s="3" t="str">
        <f aca="false">_xlfn.IFS(Data!E9&gt;=0.9,"Excellent",Data!E9&gt;=0.8,"Good",Data!E9&gt;=0.75,"Average",TRUE(),"Poor")</f>
        <v>Good</v>
      </c>
      <c r="O9" s="3" t="str">
        <f aca="false">IF(AND(Data!C9&gt;=80,Data!E9&gt;=0.85),"Eligible","Not Eligible")</f>
        <v>Not Eligible</v>
      </c>
      <c r="P9" s="3" t="str">
        <f aca="false">_xlfn.IFS(AND(Data!B9="IT",Data!D9&gt;=45000),"IT Premium",AND(Data!B9="HR",Data!D9&gt;=40000),"HR Premium",TRUE(),"Regular")</f>
        <v>IT Premium</v>
      </c>
      <c r="Q9" s="3" t="str">
        <f aca="false">_xlfn.IFS(Data!C9&gt;=90,"Outstanding",Data!C9&gt;=80,"Strong",Data!C9&gt;=70,"Satisfactory",TRUE(),"Needs Improvement")</f>
        <v>Satisfactory</v>
      </c>
      <c r="R9" s="3" t="str">
        <f aca="false">IF(AND(Data!C9&gt;=70,Data!E9&gt;=0.8),"Selected","Rejected")</f>
        <v>Selected</v>
      </c>
      <c r="S9" s="3" t="str">
        <f aca="false">IF(OR(Data!C9&gt;=90,Data!E9&gt;=0.95),"Bonus Eligible","Not Eligible")</f>
        <v>Not Eligible</v>
      </c>
      <c r="T9" s="3" t="str">
        <f aca="false">IF(AND(Data!B9="IT",Data!C9&gt;=80),"Priority","Normal")</f>
        <v>Normal</v>
      </c>
      <c r="U9" s="3" t="str">
        <f aca="false">IF(OR(Data!C9&lt;60,Data!E9&lt;0.75),"Review Required","On Track")</f>
        <v>On Track</v>
      </c>
    </row>
    <row r="10" customFormat="false" ht="15" hidden="false" customHeight="false" outlineLevel="0" collapsed="false">
      <c r="A10" s="3" t="str">
        <f aca="false">Data!A10</f>
        <v>Karan</v>
      </c>
      <c r="B10" s="3" t="str">
        <f aca="false">Data!B10</f>
        <v>Sales</v>
      </c>
      <c r="C10" s="3" t="n">
        <f aca="false">Data!C10</f>
        <v>69</v>
      </c>
      <c r="D10" s="4" t="n">
        <f aca="false">Data!D10</f>
        <v>41000</v>
      </c>
      <c r="E10" s="5" t="n">
        <f aca="false">Data!E10</f>
        <v>0.81</v>
      </c>
      <c r="F10" s="3" t="str">
        <f aca="false">IF(Data!C10&gt;=40,"Pass","Fail")</f>
        <v>Pass</v>
      </c>
      <c r="G10" s="3" t="str">
        <f aca="false">IF(Data!D10&gt;45000,"High Salary","Normal Salary")</f>
        <v>Normal Salary</v>
      </c>
      <c r="H10" s="3" t="str">
        <f aca="false">IF(Data!E10&gt;=0.8,"Eligible","Not Eligible")</f>
        <v>Eligible</v>
      </c>
      <c r="I10" s="3" t="str">
        <f aca="false">IF(Data!C10&gt;=90,"Excellent","Good")</f>
        <v>Good</v>
      </c>
      <c r="J10" s="3" t="str">
        <f aca="false">IF(Data!B10="IT","Technical","Non-Technical")</f>
        <v>Non-Technical</v>
      </c>
      <c r="K10" s="3" t="str">
        <f aca="false">IF(AND(Data!C10&gt;=85,Data!E10&gt;=0.9),"Top Performer","Standard")</f>
        <v>Standard</v>
      </c>
      <c r="L10" s="3" t="str">
        <f aca="false">_xlfn.IFS(Data!C10&gt;=90,"Excellent",Data!C10&gt;=80,"Very Good",Data!C10&gt;=70,"Good",Data!C10&gt;=60,"Average",TRUE(),"Fail")</f>
        <v>Average</v>
      </c>
      <c r="M10" s="3" t="str">
        <f aca="false">_xlfn.IFS(Data!D10&gt;=50000,"A",Data!D10&gt;=40000,"B",Data!D10&gt;=35000,"C",TRUE(),"D")</f>
        <v>B</v>
      </c>
      <c r="N10" s="3" t="str">
        <f aca="false">_xlfn.IFS(Data!E10&gt;=0.9,"Excellent",Data!E10&gt;=0.8,"Good",Data!E10&gt;=0.75,"Average",TRUE(),"Poor")</f>
        <v>Good</v>
      </c>
      <c r="O10" s="3" t="str">
        <f aca="false">IF(AND(Data!C10&gt;=80,Data!E10&gt;=0.85),"Eligible","Not Eligible")</f>
        <v>Not Eligible</v>
      </c>
      <c r="P10" s="3" t="str">
        <f aca="false">_xlfn.IFS(AND(Data!B10="IT",Data!D10&gt;=45000),"IT Premium",AND(Data!B10="HR",Data!D10&gt;=40000),"HR Premium",TRUE(),"Regular")</f>
        <v>Regular</v>
      </c>
      <c r="Q10" s="3" t="str">
        <f aca="false">_xlfn.IFS(Data!C10&gt;=90,"Outstanding",Data!C10&gt;=80,"Strong",Data!C10&gt;=70,"Satisfactory",TRUE(),"Needs Improvement")</f>
        <v>Needs Improvement</v>
      </c>
      <c r="R10" s="3" t="str">
        <f aca="false">IF(AND(Data!C10&gt;=70,Data!E10&gt;=0.8),"Selected","Rejected")</f>
        <v>Rejected</v>
      </c>
      <c r="S10" s="3" t="str">
        <f aca="false">IF(OR(Data!C10&gt;=90,Data!E10&gt;=0.95),"Bonus Eligible","Not Eligible")</f>
        <v>Not Eligible</v>
      </c>
      <c r="T10" s="3" t="str">
        <f aca="false">IF(AND(Data!B10="IT",Data!C10&gt;=80),"Priority","Normal")</f>
        <v>Normal</v>
      </c>
      <c r="U10" s="3" t="str">
        <f aca="false">IF(OR(Data!C10&lt;60,Data!E10&lt;0.75),"Review Required","On Track")</f>
        <v>On Track</v>
      </c>
    </row>
    <row r="11" customFormat="false" ht="15" hidden="false" customHeight="false" outlineLevel="0" collapsed="false">
      <c r="A11" s="3" t="str">
        <f aca="false">Data!A11</f>
        <v>Anjali</v>
      </c>
      <c r="B11" s="3" t="str">
        <f aca="false">Data!B11</f>
        <v>HR</v>
      </c>
      <c r="C11" s="3" t="n">
        <f aca="false">Data!C11</f>
        <v>88</v>
      </c>
      <c r="D11" s="4" t="n">
        <f aca="false">Data!D11</f>
        <v>46000</v>
      </c>
      <c r="E11" s="5" t="n">
        <f aca="false">Data!E11</f>
        <v>0.94</v>
      </c>
      <c r="F11" s="3" t="str">
        <f aca="false">IF(Data!C11&gt;=40,"Pass","Fail")</f>
        <v>Pass</v>
      </c>
      <c r="G11" s="3" t="str">
        <f aca="false">IF(Data!D11&gt;45000,"High Salary","Normal Salary")</f>
        <v>High Salary</v>
      </c>
      <c r="H11" s="3" t="str">
        <f aca="false">IF(Data!E11&gt;=0.8,"Eligible","Not Eligible")</f>
        <v>Eligible</v>
      </c>
      <c r="I11" s="3" t="str">
        <f aca="false">IF(Data!C11&gt;=90,"Excellent","Good")</f>
        <v>Good</v>
      </c>
      <c r="J11" s="3" t="str">
        <f aca="false">IF(Data!B11="IT","Technical","Non-Technical")</f>
        <v>Non-Technical</v>
      </c>
      <c r="K11" s="3" t="str">
        <f aca="false">IF(AND(Data!C11&gt;=85,Data!E11&gt;=0.9),"Top Performer","Standard")</f>
        <v>Top Performer</v>
      </c>
      <c r="L11" s="3" t="str">
        <f aca="false">_xlfn.IFS(Data!C11&gt;=90,"Excellent",Data!C11&gt;=80,"Very Good",Data!C11&gt;=70,"Good",Data!C11&gt;=60,"Average",TRUE(),"Fail")</f>
        <v>Very Good</v>
      </c>
      <c r="M11" s="3" t="str">
        <f aca="false">_xlfn.IFS(Data!D11&gt;=50000,"A",Data!D11&gt;=40000,"B",Data!D11&gt;=35000,"C",TRUE(),"D")</f>
        <v>B</v>
      </c>
      <c r="N11" s="3" t="str">
        <f aca="false">_xlfn.IFS(Data!E11&gt;=0.9,"Excellent",Data!E11&gt;=0.8,"Good",Data!E11&gt;=0.75,"Average",TRUE(),"Poor")</f>
        <v>Excellent</v>
      </c>
      <c r="O11" s="3" t="str">
        <f aca="false">IF(AND(Data!C11&gt;=80,Data!E11&gt;=0.85),"Eligible","Not Eligible")</f>
        <v>Eligible</v>
      </c>
      <c r="P11" s="3" t="str">
        <f aca="false">_xlfn.IFS(AND(Data!B11="IT",Data!D11&gt;=45000),"IT Premium",AND(Data!B11="HR",Data!D11&gt;=40000),"HR Premium",TRUE(),"Regular")</f>
        <v>HR Premium</v>
      </c>
      <c r="Q11" s="3" t="str">
        <f aca="false">_xlfn.IFS(Data!C11&gt;=90,"Outstanding",Data!C11&gt;=80,"Strong",Data!C11&gt;=70,"Satisfactory",TRUE(),"Needs Improvement")</f>
        <v>Strong</v>
      </c>
      <c r="R11" s="3" t="str">
        <f aca="false">IF(AND(Data!C11&gt;=70,Data!E11&gt;=0.8),"Selected","Rejected")</f>
        <v>Selected</v>
      </c>
      <c r="S11" s="3" t="str">
        <f aca="false">IF(OR(Data!C11&gt;=90,Data!E11&gt;=0.95),"Bonus Eligible","Not Eligible")</f>
        <v>Not Eligible</v>
      </c>
      <c r="T11" s="3" t="str">
        <f aca="false">IF(AND(Data!B11="IT",Data!C11&gt;=80),"Priority","Normal")</f>
        <v>Normal</v>
      </c>
      <c r="U11" s="3" t="str">
        <f aca="false">IF(OR(Data!C11&lt;60,Data!E11&lt;0.75),"Review Required","On Track")</f>
        <v>On Track</v>
      </c>
    </row>
    <row r="12" customFormat="false" ht="15" hidden="false" customHeight="false" outlineLevel="0" collapsed="false">
      <c r="A12" s="3" t="str">
        <f aca="false">Data!A12</f>
        <v>Vivek</v>
      </c>
      <c r="B12" s="3" t="str">
        <f aca="false">Data!B12</f>
        <v>IT</v>
      </c>
      <c r="C12" s="3" t="n">
        <f aca="false">Data!C12</f>
        <v>95</v>
      </c>
      <c r="D12" s="4" t="n">
        <f aca="false">Data!D12</f>
        <v>60000</v>
      </c>
      <c r="E12" s="5" t="n">
        <f aca="false">Data!E12</f>
        <v>0.98</v>
      </c>
      <c r="F12" s="3" t="str">
        <f aca="false">IF(Data!C12&gt;=40,"Pass","Fail")</f>
        <v>Pass</v>
      </c>
      <c r="G12" s="3" t="str">
        <f aca="false">IF(Data!D12&gt;45000,"High Salary","Normal Salary")</f>
        <v>High Salary</v>
      </c>
      <c r="H12" s="3" t="str">
        <f aca="false">IF(Data!E12&gt;=0.8,"Eligible","Not Eligible")</f>
        <v>Eligible</v>
      </c>
      <c r="I12" s="3" t="str">
        <f aca="false">IF(Data!C12&gt;=90,"Excellent","Good")</f>
        <v>Excellent</v>
      </c>
      <c r="J12" s="3" t="str">
        <f aca="false">IF(Data!B12="IT","Technical","Non-Technical")</f>
        <v>Technical</v>
      </c>
      <c r="K12" s="3" t="str">
        <f aca="false">IF(AND(Data!C12&gt;=85,Data!E12&gt;=0.9),"Top Performer","Standard")</f>
        <v>Top Performer</v>
      </c>
      <c r="L12" s="3" t="str">
        <f aca="false">_xlfn.IFS(Data!C12&gt;=90,"Excellent",Data!C12&gt;=80,"Very Good",Data!C12&gt;=70,"Good",Data!C12&gt;=60,"Average",TRUE(),"Fail")</f>
        <v>Excellent</v>
      </c>
      <c r="M12" s="3" t="str">
        <f aca="false">_xlfn.IFS(Data!D12&gt;=50000,"A",Data!D12&gt;=40000,"B",Data!D12&gt;=35000,"C",TRUE(),"D")</f>
        <v>A</v>
      </c>
      <c r="N12" s="3" t="str">
        <f aca="false">_xlfn.IFS(Data!E12&gt;=0.9,"Excellent",Data!E12&gt;=0.8,"Good",Data!E12&gt;=0.75,"Average",TRUE(),"Poor")</f>
        <v>Excellent</v>
      </c>
      <c r="O12" s="3" t="str">
        <f aca="false">IF(AND(Data!C12&gt;=80,Data!E12&gt;=0.85),"Eligible","Not Eligible")</f>
        <v>Eligible</v>
      </c>
      <c r="P12" s="3" t="str">
        <f aca="false">_xlfn.IFS(AND(Data!B12="IT",Data!D12&gt;=45000),"IT Premium",AND(Data!B12="HR",Data!D12&gt;=40000),"HR Premium",TRUE(),"Regular")</f>
        <v>IT Premium</v>
      </c>
      <c r="Q12" s="3" t="str">
        <f aca="false">_xlfn.IFS(Data!C12&gt;=90,"Outstanding",Data!C12&gt;=80,"Strong",Data!C12&gt;=70,"Satisfactory",TRUE(),"Needs Improvement")</f>
        <v>Outstanding</v>
      </c>
      <c r="R12" s="3" t="str">
        <f aca="false">IF(AND(Data!C12&gt;=70,Data!E12&gt;=0.8),"Selected","Rejected")</f>
        <v>Selected</v>
      </c>
      <c r="S12" s="3" t="str">
        <f aca="false">IF(OR(Data!C12&gt;=90,Data!E12&gt;=0.95),"Bonus Eligible","Not Eligible")</f>
        <v>Bonus Eligible</v>
      </c>
      <c r="T12" s="3" t="str">
        <f aca="false">IF(AND(Data!B12="IT",Data!C12&gt;=80),"Priority","Normal")</f>
        <v>Priority</v>
      </c>
      <c r="U12" s="3" t="str">
        <f aca="false">IF(OR(Data!C12&lt;60,Data!E12&lt;0.75),"Review Required","On Track")</f>
        <v>On Track</v>
      </c>
    </row>
    <row r="13" customFormat="false" ht="15" hidden="false" customHeight="false" outlineLevel="0" collapsed="false">
      <c r="A13" s="3" t="str">
        <f aca="false">Data!A13</f>
        <v>Pooja</v>
      </c>
      <c r="B13" s="3" t="str">
        <f aca="false">Data!B13</f>
        <v>Sales</v>
      </c>
      <c r="C13" s="3" t="n">
        <f aca="false">Data!C13</f>
        <v>74</v>
      </c>
      <c r="D13" s="4" t="n">
        <f aca="false">Data!D13</f>
        <v>39000</v>
      </c>
      <c r="E13" s="5" t="n">
        <f aca="false">Data!E13</f>
        <v>0.86</v>
      </c>
      <c r="F13" s="3" t="str">
        <f aca="false">IF(Data!C13&gt;=40,"Pass","Fail")</f>
        <v>Pass</v>
      </c>
      <c r="G13" s="3" t="str">
        <f aca="false">IF(Data!D13&gt;45000,"High Salary","Normal Salary")</f>
        <v>Normal Salary</v>
      </c>
      <c r="H13" s="3" t="str">
        <f aca="false">IF(Data!E13&gt;=0.8,"Eligible","Not Eligible")</f>
        <v>Eligible</v>
      </c>
      <c r="I13" s="3" t="str">
        <f aca="false">IF(Data!C13&gt;=90,"Excellent","Good")</f>
        <v>Good</v>
      </c>
      <c r="J13" s="3" t="str">
        <f aca="false">IF(Data!B13="IT","Technical","Non-Technical")</f>
        <v>Non-Technical</v>
      </c>
      <c r="K13" s="3" t="str">
        <f aca="false">IF(AND(Data!C13&gt;=85,Data!E13&gt;=0.9),"Top Performer","Standard")</f>
        <v>Standard</v>
      </c>
      <c r="L13" s="3" t="str">
        <f aca="false">_xlfn.IFS(Data!C13&gt;=90,"Excellent",Data!C13&gt;=80,"Very Good",Data!C13&gt;=70,"Good",Data!C13&gt;=60,"Average",TRUE(),"Fail")</f>
        <v>Good</v>
      </c>
      <c r="M13" s="3" t="str">
        <f aca="false">_xlfn.IFS(Data!D13&gt;=50000,"A",Data!D13&gt;=40000,"B",Data!D13&gt;=35000,"C",TRUE(),"D")</f>
        <v>C</v>
      </c>
      <c r="N13" s="3" t="str">
        <f aca="false">_xlfn.IFS(Data!E13&gt;=0.9,"Excellent",Data!E13&gt;=0.8,"Good",Data!E13&gt;=0.75,"Average",TRUE(),"Poor")</f>
        <v>Good</v>
      </c>
      <c r="O13" s="3" t="str">
        <f aca="false">IF(AND(Data!C13&gt;=80,Data!E13&gt;=0.85),"Eligible","Not Eligible")</f>
        <v>Not Eligible</v>
      </c>
      <c r="P13" s="3" t="str">
        <f aca="false">_xlfn.IFS(AND(Data!B13="IT",Data!D13&gt;=45000),"IT Premium",AND(Data!B13="HR",Data!D13&gt;=40000),"HR Premium",TRUE(),"Regular")</f>
        <v>Regular</v>
      </c>
      <c r="Q13" s="3" t="str">
        <f aca="false">_xlfn.IFS(Data!C13&gt;=90,"Outstanding",Data!C13&gt;=80,"Strong",Data!C13&gt;=70,"Satisfactory",TRUE(),"Needs Improvement")</f>
        <v>Satisfactory</v>
      </c>
      <c r="R13" s="3" t="str">
        <f aca="false">IF(AND(Data!C13&gt;=70,Data!E13&gt;=0.8),"Selected","Rejected")</f>
        <v>Selected</v>
      </c>
      <c r="S13" s="3" t="str">
        <f aca="false">IF(OR(Data!C13&gt;=90,Data!E13&gt;=0.95),"Bonus Eligible","Not Eligible")</f>
        <v>Not Eligible</v>
      </c>
      <c r="T13" s="3" t="str">
        <f aca="false">IF(AND(Data!B13="IT",Data!C13&gt;=80),"Priority","Normal")</f>
        <v>Normal</v>
      </c>
      <c r="U13" s="3" t="str">
        <f aca="false">IF(OR(Data!C13&lt;60,Data!E13&lt;0.75),"Review Required","On Track")</f>
        <v>On Track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36</v>
      </c>
      <c r="B1" s="1"/>
      <c r="C1" s="1"/>
      <c r="D1" s="1"/>
    </row>
    <row r="3" customFormat="false" ht="15" hidden="false" customHeight="false" outlineLevel="0" collapsed="false">
      <c r="A3" s="2" t="s">
        <v>37</v>
      </c>
      <c r="B3" s="2" t="s">
        <v>38</v>
      </c>
      <c r="C3" s="2" t="s">
        <v>39</v>
      </c>
      <c r="D3" s="2" t="s">
        <v>40</v>
      </c>
    </row>
    <row r="4" customFormat="false" ht="15" hidden="false" customHeight="false" outlineLevel="0" collapsed="false">
      <c r="A4" s="3" t="n">
        <v>13</v>
      </c>
      <c r="B4" s="6" t="s">
        <v>41</v>
      </c>
      <c r="C4" s="7" t="s">
        <v>42</v>
      </c>
      <c r="D4" s="8" t="n">
        <f aca="false">COUNTIF(Data!B4:B13,"IT")</f>
        <v>4</v>
      </c>
    </row>
    <row r="5" customFormat="false" ht="15" hidden="false" customHeight="false" outlineLevel="0" collapsed="false">
      <c r="A5" s="3" t="n">
        <v>14</v>
      </c>
      <c r="B5" s="6" t="s">
        <v>43</v>
      </c>
      <c r="C5" s="7" t="s">
        <v>44</v>
      </c>
      <c r="D5" s="8" t="n">
        <f aca="false">COUNTIF(Data!C4:C13,"&gt;=80")</f>
        <v>4</v>
      </c>
    </row>
    <row r="6" customFormat="false" ht="15" hidden="false" customHeight="false" outlineLevel="0" collapsed="false">
      <c r="A6" s="3" t="n">
        <v>15</v>
      </c>
      <c r="B6" s="6" t="s">
        <v>45</v>
      </c>
      <c r="C6" s="7" t="s">
        <v>46</v>
      </c>
      <c r="D6" s="8" t="n">
        <f aca="false">COUNTIF(Data!D4:D13,"&gt;40000")</f>
        <v>7</v>
      </c>
    </row>
    <row r="7" customFormat="false" ht="15" hidden="false" customHeight="false" outlineLevel="0" collapsed="false">
      <c r="A7" s="3" t="n">
        <v>16</v>
      </c>
      <c r="B7" s="6" t="s">
        <v>47</v>
      </c>
      <c r="C7" s="7" t="s">
        <v>48</v>
      </c>
      <c r="D7" s="8" t="n">
        <f aca="false">COUNTIF(Data!E4:E13,"&gt;=0.9")</f>
        <v>4</v>
      </c>
    </row>
    <row r="8" customFormat="false" ht="15" hidden="false" customHeight="false" outlineLevel="0" collapsed="false">
      <c r="A8" s="3" t="n">
        <v>17</v>
      </c>
      <c r="B8" s="6" t="s">
        <v>49</v>
      </c>
      <c r="C8" s="7" t="s">
        <v>50</v>
      </c>
      <c r="D8" s="8" t="n">
        <f aca="false">COUNTIF(Data!B4:B13,"HR")</f>
        <v>3</v>
      </c>
    </row>
    <row r="9" customFormat="false" ht="15" hidden="false" customHeight="false" outlineLevel="0" collapsed="false">
      <c r="A9" s="3" t="n">
        <v>18</v>
      </c>
      <c r="B9" s="6" t="s">
        <v>51</v>
      </c>
      <c r="C9" s="7" t="s">
        <v>52</v>
      </c>
      <c r="D9" s="8" t="n">
        <f aca="false">COUNTIF(Data!C4:C13,"&lt;60")</f>
        <v>1</v>
      </c>
    </row>
    <row r="10" customFormat="false" ht="15" hidden="false" customHeight="false" outlineLevel="0" collapsed="false">
      <c r="A10" s="3" t="n">
        <v>19</v>
      </c>
      <c r="B10" s="6" t="s">
        <v>53</v>
      </c>
      <c r="C10" s="7" t="s">
        <v>54</v>
      </c>
      <c r="D10" s="8" t="n">
        <f aca="false">COUNTIF(Data!D4:D13,45000)</f>
        <v>1</v>
      </c>
    </row>
    <row r="11" customFormat="false" ht="15" hidden="false" customHeight="false" outlineLevel="0" collapsed="false">
      <c r="A11" s="3" t="n">
        <v>20</v>
      </c>
      <c r="B11" s="6" t="s">
        <v>55</v>
      </c>
      <c r="C11" s="7" t="s">
        <v>56</v>
      </c>
      <c r="D11" s="8" t="n">
        <f aca="false">COUNTIF(Data!A4:A13,"A*")</f>
        <v>2</v>
      </c>
    </row>
    <row r="12" customFormat="false" ht="15" hidden="false" customHeight="false" outlineLevel="0" collapsed="false">
      <c r="A12" s="3" t="n">
        <v>21</v>
      </c>
      <c r="B12" s="6" t="s">
        <v>57</v>
      </c>
      <c r="C12" s="7" t="s">
        <v>58</v>
      </c>
      <c r="D12" s="8" t="n">
        <f aca="false">COUNTIF(Data!B4:B13,"&lt;&gt;Sales")</f>
        <v>7</v>
      </c>
    </row>
    <row r="13" customFormat="false" ht="15" hidden="false" customHeight="false" outlineLevel="0" collapsed="false">
      <c r="A13" s="3" t="n">
        <v>22</v>
      </c>
      <c r="B13" s="6" t="s">
        <v>59</v>
      </c>
      <c r="C13" s="7" t="s">
        <v>60</v>
      </c>
      <c r="D13" s="8" t="n">
        <f aca="false">SUMIF(Data!B4:B13,"IT",Data!D4:D13)</f>
        <v>195000</v>
      </c>
    </row>
    <row r="14" customFormat="false" ht="15" hidden="false" customHeight="false" outlineLevel="0" collapsed="false">
      <c r="A14" s="3" t="n">
        <v>23</v>
      </c>
      <c r="B14" s="6" t="s">
        <v>61</v>
      </c>
      <c r="C14" s="7" t="s">
        <v>62</v>
      </c>
      <c r="D14" s="8" t="n">
        <f aca="false">SUMIF(Data!B4:B13,"HR",Data!D4:D13)</f>
        <v>119000</v>
      </c>
    </row>
    <row r="15" customFormat="false" ht="15" hidden="false" customHeight="false" outlineLevel="0" collapsed="false">
      <c r="A15" s="3" t="n">
        <v>24</v>
      </c>
      <c r="B15" s="6" t="s">
        <v>63</v>
      </c>
      <c r="C15" s="7" t="s">
        <v>64</v>
      </c>
      <c r="D15" s="8" t="n">
        <f aca="false">SUMIF(Data!B4:B13,"Sales",Data!D4:D13)</f>
        <v>132000</v>
      </c>
    </row>
    <row r="16" customFormat="false" ht="15" hidden="false" customHeight="false" outlineLevel="0" collapsed="false">
      <c r="A16" s="3" t="n">
        <v>25</v>
      </c>
      <c r="B16" s="6" t="s">
        <v>65</v>
      </c>
      <c r="C16" s="7" t="s">
        <v>66</v>
      </c>
      <c r="D16" s="8" t="n">
        <f aca="false">SUMIF(Data!C4:C13,"&gt;=80",Data!D4:D13)</f>
        <v>203000</v>
      </c>
    </row>
    <row r="17" customFormat="false" ht="15" hidden="false" customHeight="false" outlineLevel="0" collapsed="false">
      <c r="A17" s="3" t="n">
        <v>26</v>
      </c>
      <c r="B17" s="6" t="s">
        <v>67</v>
      </c>
      <c r="C17" s="7" t="s">
        <v>68</v>
      </c>
      <c r="D17" s="8" t="n">
        <f aca="false">SUMIF(Data!E4:E13,"&gt;=0.9",Data!C4:C13)</f>
        <v>359</v>
      </c>
    </row>
    <row r="18" customFormat="false" ht="15" hidden="false" customHeight="false" outlineLevel="0" collapsed="false">
      <c r="A18" s="3" t="n">
        <v>27</v>
      </c>
      <c r="B18" s="6" t="s">
        <v>69</v>
      </c>
      <c r="C18" s="7" t="s">
        <v>70</v>
      </c>
      <c r="D18" s="8" t="n">
        <f aca="false">SUMIF(Data!D4:D13,"&gt;40000",Data!C4:C13)</f>
        <v>571</v>
      </c>
    </row>
    <row r="19" customFormat="false" ht="15" hidden="false" customHeight="false" outlineLevel="0" collapsed="false">
      <c r="A19" s="3" t="n">
        <v>28</v>
      </c>
      <c r="B19" s="6" t="s">
        <v>71</v>
      </c>
      <c r="C19" s="7" t="s">
        <v>72</v>
      </c>
      <c r="D19" s="8" t="n">
        <f aca="false">SUMIF(Data!B4:B13,"IT",Data!C4:C13)</f>
        <v>323</v>
      </c>
    </row>
    <row r="20" customFormat="false" ht="15" hidden="false" customHeight="false" outlineLevel="0" collapsed="false">
      <c r="A20" s="3" t="n">
        <v>29</v>
      </c>
      <c r="B20" s="6" t="s">
        <v>73</v>
      </c>
      <c r="C20" s="7" t="s">
        <v>74</v>
      </c>
      <c r="D20" s="8" t="n">
        <f aca="false">SUMIF(Data!C4:C13,"&lt;70",Data!D4:D13)</f>
        <v>118000</v>
      </c>
    </row>
    <row r="21" customFormat="false" ht="23.85" hidden="false" customHeight="false" outlineLevel="0" collapsed="false">
      <c r="A21" s="3" t="n">
        <v>30</v>
      </c>
      <c r="B21" s="6" t="s">
        <v>75</v>
      </c>
      <c r="C21" s="7" t="s">
        <v>76</v>
      </c>
      <c r="D21" s="8" t="str">
        <f aca="false">IF(COUNTIF(Data!B4:B13,"IT")&gt;3,"Large Team","Small Team")</f>
        <v>Large Team</v>
      </c>
    </row>
    <row r="22" customFormat="false" ht="23.85" hidden="false" customHeight="false" outlineLevel="0" collapsed="false">
      <c r="A22" s="3" t="n">
        <v>31</v>
      </c>
      <c r="B22" s="6" t="s">
        <v>77</v>
      </c>
      <c r="C22" s="7" t="s">
        <v>78</v>
      </c>
      <c r="D22" s="8" t="str">
        <f aca="false">IF(SUMIF(Data!B4:B13,"IT",Data!D4:D13)&gt;150000,"High Payroll","Low Payroll")</f>
        <v>High Payroll</v>
      </c>
    </row>
    <row r="23" customFormat="false" ht="23.85" hidden="false" customHeight="false" outlineLevel="0" collapsed="false">
      <c r="A23" s="3" t="n">
        <v>32</v>
      </c>
      <c r="B23" s="6" t="s">
        <v>79</v>
      </c>
      <c r="C23" s="7" t="s">
        <v>80</v>
      </c>
      <c r="D23" s="8" t="str">
        <f aca="false">_xlfn.IFS(COUNTIF(Data!C4:C13,"&gt;=80")&gt;=5,"Excellent",COUNTIF(Data!C4:C13,"&gt;=80")&gt;=3,"Good",COUNTIF(Data!C4:C13,"&gt;=80")&gt;=1,"Average",TRUE(),"Poor")</f>
        <v>Good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2026-09-22T06:15:57Z</dcterms:created>
  <dc:creator>openpyxl</dc:creator>
  <dc:description/>
  <dc:language>en-US</dc:language>
  <cp:lastModifiedBy/>
  <dcterms:modified xsi:type="dcterms:W3CDTF">2026-09-22T06:15:57Z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